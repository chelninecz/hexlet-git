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</sheets>
  <definedNames>
    <definedName name="Deck">Game!$BT$3</definedName>
    <definedName name="PlayerN">Game!$BT$4</definedName>
    <definedName name="Stand">Game!$BT$5</definedName>
    <definedName name="PlayerCards">Game!$BT$6</definedName>
    <definedName name="Remaining">Game!$BT$7</definedName>
    <definedName name="HandTotal">Game!$BT$8</definedName>
    <definedName name="PlayerTotal">Game!$BT$9</definedName>
    <definedName name="CardName">Game!$BT$10</definedName>
    <definedName name="HandDisplay">Game!$BT$11</definedName>
    <definedName name="DealerN">Game!$BT$12</definedName>
    <definedName name="DealerCards">Game!$BT$13</definedName>
    <definedName name="DealerTotal">Game!$BT$14</definedName>
    <definedName name="PlayerBlackjack">Game!$BT$15</definedName>
    <definedName name="Result">Game!$BT$16</definedName>
    <definedName name="DealerVisible">Game!$BT$17</definedName>
    <definedName name="DealerFullDisplay">Game!$BT$18</definedName>
    <definedName name="DealerTotalDisplay">Game!$BT$19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4"/>
    </font>
    <font>
      <b val="1"/>
      <sz val="12"/>
    </font>
    <font>
      <color rgb="00808080"/>
    </font>
    <font>
      <sz val="14"/>
    </font>
    <font>
      <b val="1"/>
      <sz val="16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6EAF8"/>
          <bgColor rgb="00D6E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5" customWidth="1" min="4" max="4"/>
    <col width="15" customWidth="1" min="5" max="5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БЛЭКДЖЕК - Игра на формулах Excel</t>
        </is>
      </c>
      <c r="B1" s="2" t="n"/>
      <c r="C1" s="3" t="n"/>
      <c r="D1" s="3" t="n"/>
      <c r="E1" s="3" t="n"/>
      <c r="F1" s="3" t="n"/>
      <c r="G1" s="4">
        <f>== СЛУЖЕБНАЯ ОБЛАСТЬ ===</f>
        <v/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</row>
    <row r="2">
      <c r="A2" s="2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</row>
    <row r="3">
      <c r="A3" s="5" t="inlineStr">
        <is>
          <t>Seed для новой игры:</t>
        </is>
      </c>
      <c r="B3" s="2" t="n">
        <v>12345</v>
      </c>
      <c r="C3" s="3" t="n"/>
      <c r="D3" s="3" t="n"/>
      <c r="E3" s="3" t="n"/>
      <c r="F3" s="3" t="n"/>
      <c r="G3" s="3" t="inlineStr">
        <is>
          <t>Deck (колода):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>
        <f>LET(seed, Game!$B$3,base, SEQUENCE(52),hash1, MOD((base + seed) * 34999 + 12345, 1048576),hash2, MOD((base + seed) * 7919 + 104729, 1048576),SORTBY(base, hash1, 1, hash2, 1))</f>
        <v/>
      </c>
      <c r="BU3" s="3" t="n"/>
    </row>
    <row r="4">
      <c r="A4" s="5" t="inlineStr">
        <is>
          <t>Карт игрока (Hit):</t>
        </is>
      </c>
      <c r="B4" s="2" t="n">
        <v>2</v>
      </c>
      <c r="C4" s="3" t="n"/>
      <c r="D4" s="3" t="n"/>
      <c r="E4" s="3" t="n"/>
      <c r="F4" s="3" t="n"/>
      <c r="G4" s="3" t="inlineStr">
        <is>
          <t>PlayerCards: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>
        <f>MIN(MAX(Game!$B$4, 2), 20)</f>
        <v/>
      </c>
      <c r="BU4" s="3" t="n"/>
    </row>
    <row r="5">
      <c r="A5" s="5" t="inlineStr">
        <is>
          <t>Stand (остановиться):</t>
        </is>
      </c>
      <c r="B5" s="2" t="b">
        <v>0</v>
      </c>
      <c r="C5" s="3" t="n"/>
      <c r="D5" s="3" t="n"/>
      <c r="E5" s="3" t="n"/>
      <c r="F5" s="3" t="n"/>
      <c r="G5" s="3" t="inlineStr">
        <is>
          <t>DealerCards: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>
        <f>Game!$B$5</f>
        <v/>
      </c>
      <c r="BU5" s="3" t="n"/>
    </row>
    <row r="6">
      <c r="A6" s="2" t="n"/>
      <c r="B6" s="2" t="n"/>
      <c r="C6" s="3" t="n"/>
      <c r="D6" s="3" t="n"/>
      <c r="E6" s="3" t="n"/>
      <c r="F6" s="3" t="n"/>
      <c r="G6" s="3" t="inlineStr">
        <is>
          <t>PlayerTotal: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>
        <f>LET(deck, Deck,n, PlayerN,TAKE(deck, n))</f>
        <v/>
      </c>
      <c r="BU6" s="3" t="n"/>
    </row>
    <row r="7">
      <c r="A7" s="6">
        <f>=================================================</f>
        <v/>
      </c>
      <c r="B7" s="2" t="n"/>
      <c r="C7" s="3" t="n"/>
      <c r="D7" s="3" t="n"/>
      <c r="E7" s="3" t="n"/>
      <c r="F7" s="3" t="n"/>
      <c r="G7" s="3" t="inlineStr">
        <is>
          <t>DealerTotal: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>
        <f>LET(deck, Deck,n, PlayerN,DROP(deck, n))</f>
        <v/>
      </c>
      <c r="BU7" s="3" t="n"/>
    </row>
    <row r="8">
      <c r="A8" s="5">
        <f>== РУКА ИГРОКА ===</f>
        <v/>
      </c>
      <c r="B8" s="2" t="n"/>
      <c r="C8" s="3" t="n"/>
      <c r="D8" s="3" t="n"/>
      <c r="E8" s="3" t="n"/>
      <c r="F8" s="3" t="n"/>
      <c r="G8" s="3" t="inlineStr">
        <is>
          <t>Проверка уникальности колоды: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>
        <f>LAMBDA(cards,LET(ranks, MOD(cards - 1, 13) + 1,values, IF(ranks = 1, 11, IF(ranks &gt; 10, 10, ranks)),total, SUM(values),aces, SUM(--(ranks = 1)),reduction, IF(total &lt;= 21, 0, MIN(aces, ROUNDUP((total - 21) / 10, 0))),total - 10 * reduction)</f>
        <v/>
      </c>
      <c r="BU8" s="3" t="n"/>
    </row>
    <row r="9">
      <c r="A9" s="2" t="inlineStr">
        <is>
          <t>Карты игрока:</t>
        </is>
      </c>
      <c r="B9" s="7">
        <f>PlayerDisplay</f>
        <v/>
      </c>
      <c r="C9" s="3" t="n"/>
      <c r="D9" s="3" t="n"/>
      <c r="E9" s="3" t="n"/>
      <c r="F9" s="3" t="n"/>
      <c r="G9" s="3" t="inlineStr">
        <is>
          <t>Первые 10 карт колоды: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>
        <f>HandTotal(PlayerCards)</f>
        <v/>
      </c>
      <c r="BU9" s="3" t="n"/>
    </row>
    <row r="10">
      <c r="A10" s="2" t="inlineStr">
        <is>
          <t>Очки игрока:</t>
        </is>
      </c>
      <c r="B10" s="8">
        <f>PlayerTotal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inlineStr">
        <is>
          <t>Карта 1:</t>
        </is>
      </c>
      <c r="BT10" s="3">
        <f>LAMBDA(c,LET(r, MOD(c - 1, 13) + 1,s, INT((c - 1) / 13) + 1,rankNames, {"A","2","3","4","5","6","7","8","9","10","J","Q","K"},suitNames, {"♠","♥","♦","♣"},INDEX(rankNames, r) &amp; INDEX(suitNames, s))</f>
        <v/>
      </c>
      <c r="BU10" s="3" t="inlineStr">
        <is>
          <t>Карта 3:</t>
        </is>
      </c>
      <c r="BV10" t="inlineStr">
        <is>
          <t>Карта 4:</t>
        </is>
      </c>
      <c r="BW10" t="inlineStr">
        <is>
          <t>Карта 5:</t>
        </is>
      </c>
      <c r="BX10" t="inlineStr"/>
    </row>
    <row r="11">
      <c r="A11" s="2" t="n"/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inlineStr">
        <is>
          <t>Карта 6:</t>
        </is>
      </c>
      <c r="BT11" s="3">
        <f>LAMBDA(hand,IF(COUNT(hand) = 0, "", TEXTJOIN("  ", TRUE, MAP(hand, CardName)))</f>
        <v/>
      </c>
      <c r="BU11" s="3" t="inlineStr">
        <is>
          <t>Карта 8:</t>
        </is>
      </c>
      <c r="BV11" t="inlineStr">
        <is>
          <t>Карта 9:</t>
        </is>
      </c>
      <c r="BW11" t="inlineStr">
        <is>
          <t>Карта 10:</t>
        </is>
      </c>
      <c r="BX11" t="inlineStr"/>
    </row>
    <row r="12">
      <c r="A12" s="6">
        <f>=================================================</f>
        <v/>
      </c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>
        <f>LET(remaining, Remaining,maxCards, COUNT(remaining),testCounts, SEQUENCE(maxCards, 1, 1, 1),totals, MAP(testCounts, LAMBDA(n, HandTotal(TAKE(remaining, n)))),
validIdx, FILTER(testCounts, (totals &gt;= 17) + (totals &gt; 21) + (testCounts = maxCards)),
IF(COUNT(validIdx) = 0, 2, MIN(validIdx)))</f>
        <v/>
      </c>
      <c r="BU12" s="3" t="n"/>
    </row>
    <row r="13">
      <c r="A13" s="5">
        <f>== РУКА ДИЛЕРА ===</f>
        <v/>
      </c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>
        <f>LET(remaining, Remaining,n, DealerN,TAKE(remaining, n))</f>
        <v/>
      </c>
      <c r="BU13" s="3" t="n"/>
    </row>
    <row r="14">
      <c r="A14" s="2" t="inlineStr">
        <is>
          <t>Карта дилера (видимая):</t>
        </is>
      </c>
      <c r="B14" s="7">
        <f>DealerVisible</f>
        <v/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>
        <f>HandTotal(DealerCards)</f>
        <v/>
      </c>
      <c r="BU14" s="3" t="n"/>
    </row>
    <row r="15">
      <c r="A15" s="2" t="inlineStr">
        <is>
          <t>Карты дилера (после Stand):</t>
        </is>
      </c>
      <c r="B15" s="7">
        <f>DealerFullDisplay</f>
        <v/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>
        <f>LET(cards, PlayerCards,n, COUNT(cards),IF(n &lt;&gt; 2, FALSE,LET(r1, MOD(INDEX(cards, 1) - 1, 13) + 1,r2, MOD(INDEX(cards, 2) - 1, 13) + 1,v1, IF(r1 = 1, 11, IF(r1 &gt; 10, 10, r1)),v2, IF(r2 = 1, 11, IF(r2 &gt; 10, 10, r2)),(v1 + v2 = 21))))</f>
        <v/>
      </c>
      <c r="BU15" s="3" t="n"/>
    </row>
    <row r="16">
      <c r="A16" s="2" t="inlineStr">
        <is>
          <t>Очки дилера:</t>
        </is>
      </c>
      <c r="B16" s="8">
        <f>DealerTotalDisplay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>
        <f>LET(pTotal, PlayerTotal,dTotal, DealerTotal,stand, Stand,pBJ, PlayerBlackjack,IF(pTotal &gt; 21, "Перебор игрока",IF(stand = FALSE,IF(pBJ, "Блэкджек! Можно остановиться", "Можно взять ещё карту"),IFS(pBJ AND (dTotal &lt;&gt; 21 OR COUNT(DealerCards) &gt; 2), "Блэкджек! Вы выиграли",dTotal &gt; 21, "Дилер перебрал",pTotal = dTotal, "Ничья",pTotal &gt; dTotal, "Вы выиграли",TRUE, "Дилер выиграл")))</f>
        <v/>
      </c>
      <c r="BU16" s="3" t="n"/>
    </row>
    <row r="17">
      <c r="A17" s="2" t="n"/>
      <c r="B17" s="2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>
        <f>IF(COUNT(DealerCards) = 0, "", IF(Stand = FALSE, CardName(INDEX(DealerCards, 1)) &amp; "  ?", HandDisplay(DealerCards)))</f>
        <v/>
      </c>
      <c r="BU17" s="3" t="n"/>
    </row>
    <row r="18">
      <c r="A18" s="6">
        <f>=================================================</f>
        <v/>
      </c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>
        <f>IF(Stand, HandDisplay(DealerCards), "")</f>
        <v/>
      </c>
      <c r="BU18" s="3" t="n"/>
    </row>
    <row r="19">
      <c r="A19" s="5">
        <f>== РЕЗУЛЬТАТ ===</f>
        <v/>
      </c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>
        <f>IF(Stand, DealerTotal, "?")</f>
        <v/>
      </c>
      <c r="BU19" s="3" t="n"/>
    </row>
    <row r="20">
      <c r="A20" s="2" t="inlineStr">
        <is>
          <t>Статус игры:</t>
        </is>
      </c>
      <c r="B20" s="8">
        <f>Result</f>
        <v/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>
        <f>ROWS(UNIQUE(Deck)) = 52</f>
        <v/>
      </c>
      <c r="BU20" s="3" t="n"/>
    </row>
    <row r="21">
      <c r="A21" s="2" t="n"/>
      <c r="B21" s="2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>
        <f>MIN(Deck)</f>
        <v/>
      </c>
      <c r="BU21" s="3" t="n"/>
    </row>
    <row r="22">
      <c r="A22" s="5">
        <f>== КАК ИГРАТЬ ===</f>
        <v/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>
        <f>MAX(Deck)</f>
        <v/>
      </c>
      <c r="BU22" s="3" t="n"/>
    </row>
    <row r="23">
      <c r="A23" s="9" t="inlineStr">
        <is>
          <t>1. Измените Seed (ячейка B3) для начала новой игры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>
        <f>SUM(--(ISNUMBER(MATCH(PlayerCards, DealerCards, 0)))) = 0</f>
        <v/>
      </c>
      <c r="BU23" s="3" t="n"/>
    </row>
    <row r="24">
      <c r="A24" s="9" t="inlineStr">
        <is>
          <t>2. Увеличивайте количество карт (B4) чтобы взять карту (Hit)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</row>
    <row r="25">
      <c r="A25" s="9" t="inlineStr">
        <is>
          <t>3. Установите Stand=TRUE (B5) когда решите остановиться</t>
        </is>
      </c>
      <c r="B25" s="2" t="n"/>
      <c r="C25" s="3" t="n"/>
      <c r="D25" s="3" t="n"/>
      <c r="E25" s="3" t="n"/>
      <c r="F25" s="3" t="n"/>
      <c r="G25" s="3" t="n"/>
      <c r="H25" s="3">
        <f>IF(COUNT(Deck)&gt;0, CardName(INDEX(Deck, 1)), "")</f>
        <v/>
      </c>
      <c r="I25" s="3">
        <f>IF(COUNT(Deck)&gt;1, CardName(INDEX(Deck, 2)), "")</f>
        <v/>
      </c>
      <c r="J25" s="3">
        <f>IF(COUNT(Deck)&gt;2, CardName(INDEX(Deck, 3)), "")</f>
        <v/>
      </c>
      <c r="K25" s="3">
        <f>IF(COUNT(Deck)&gt;3, CardName(INDEX(Deck, 4)), "")</f>
        <v/>
      </c>
      <c r="L25" s="3">
        <f>IF(COUNT(Deck)&gt;4, CardName(INDEX(Deck, 5)), "")</f>
        <v/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</row>
    <row r="26">
      <c r="A26" s="9" t="inlineStr">
        <is>
          <t>4. Для новой игры: измените Seed и сбросьте карты на 2, Stand на FALSE</t>
        </is>
      </c>
      <c r="B26" s="2" t="n"/>
      <c r="C26" s="3" t="n"/>
      <c r="D26" s="3" t="n"/>
      <c r="E26" s="3" t="n"/>
      <c r="F26" s="3" t="n"/>
      <c r="G26" s="3" t="n"/>
      <c r="H26" s="3">
        <f>IF(COUNT(Deck)&gt;5, CardName(INDEX(Deck, 6)), "")</f>
        <v/>
      </c>
      <c r="I26" s="3">
        <f>IF(COUNT(Deck)&gt;6, CardName(INDEX(Deck, 7)), "")</f>
        <v/>
      </c>
      <c r="J26" s="3">
        <f>IF(COUNT(Deck)&gt;7, CardName(INDEX(Deck, 8)), "")</f>
        <v/>
      </c>
      <c r="K26" s="3">
        <f>IF(COUNT(Deck)&gt;8, CardName(INDEX(Deck, 9)), "")</f>
        <v/>
      </c>
      <c r="L26" s="3">
        <f>IF(COUNT(Deck)&gt;9, CardName(INDEX(Deck, 10)), "")</f>
        <v/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</row>
    <row r="27">
      <c r="A27" s="9" t="inlineStr"/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</row>
    <row r="28">
      <c r="A28" s="9" t="inlineStr">
        <is>
          <t>Правила:</t>
        </is>
      </c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</row>
    <row r="29">
      <c r="A29" s="9" t="inlineStr">
        <is>
          <t>- Туз = 11 или 1 (автоматически)</t>
        </is>
      </c>
      <c r="B29" s="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</row>
    <row r="30">
      <c r="A30" s="9" t="inlineStr">
        <is>
          <t>- Карты 2-10 = по номиналу</t>
        </is>
      </c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</row>
    <row r="31">
      <c r="A31" s="9" t="inlineStr">
        <is>
          <t>- J, Q, K = 10</t>
        </is>
      </c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</row>
    <row r="32">
      <c r="A32" s="9" t="inlineStr">
        <is>
          <t>- Дилер берёт до 17 очков</t>
        </is>
      </c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</row>
    <row r="33">
      <c r="A33" s="9" t="inlineStr">
        <is>
          <t>- Победа при &gt; очков чем у дилера (без перебора)</t>
        </is>
      </c>
      <c r="B33" s="2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</row>
  </sheetData>
  <mergeCells count="1">
    <mergeCell ref="A1:E1"/>
  </mergeCells>
  <conditionalFormatting sqref="B20">
    <cfRule type="expression" priority="1" dxfId="0">
      <formula>OR(B20="Вы выиграли", B20="Блэкджек! Вы выиграли", B20="Дилер перебрал")</formula>
    </cfRule>
    <cfRule type="expression" priority="2" dxfId="1">
      <formula>OR(B20="Перебор игрока", B20="Дилер выиграл")</formula>
    </cfRule>
    <cfRule type="expression" priority="3" dxfId="2">
      <formula>B20="Ничья"</formula>
    </cfRule>
    <cfRule type="expression" priority="4" dxfId="3">
      <formula>OR(B20="Можно взять ещё карту", ISNUMBER(SEARCH("Блэкджек", B20)))</formula>
    </cfRule>
  </conditionalFormatting>
  <dataValidations count="3">
    <dataValidation sqref="B3" showDropDown="0" showInputMessage="0" showErrorMessage="0" allowBlank="0" errorTitle="Неверное значение Seed" error="Введите целое число от 1 до 1000000" type="whole" operator="between">
      <formula1>1</formula1>
      <formula2>1000000</formula2>
    </dataValidation>
    <dataValidation sqref="B4" showDropDown="0" showInputMessage="0" showErrorMessage="0" allowBlank="0" errorTitle="Неверное количество карт" error="Введите целое число от 2 до 20" type="whole" operator="between">
      <formula1>2</formula1>
      <formula2>20</formula2>
    </dataValidation>
    <dataValidation sqref="B5" showDropDown="0" showInputMessage="0" showErrorMessage="0" allowBlank="0" errorTitle="Неверное значение Stand" error="Выберите FALSE или TRUE" type="list">
      <formula1>"FALSE,TRUE"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2026-08-11T12:18:27Z</dcterms:created>
  <dcterms:modified xmlns:dcterms="http://purl.org/dc/terms/" xmlns:xsi="http://www.w3.org/2001/XMLSchema-instance" xsi:type="dcterms:W3CDTF">2026-08-11T12:18:27Z</dcterms:modified>
</cp:coreProperties>
</file>