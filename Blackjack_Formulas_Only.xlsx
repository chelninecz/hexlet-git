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me" sheetId="1" state="visible" r:id="rId1"/>
  </sheets>
  <definedNames>
    <definedName name="PlayerN">=MIN(MAX(Game.$B$2, 2), 20)</definedName>
    <definedName name="Stand">=Game.$B$3</definedName>
    <definedName name="SeedValue">=Game.$B$1</definedName>
    <definedName name="Deck">=LET(s,SeedValue,base,SEQUENCE(52),h1,MOD((base+s)*34999+12345,1048576),h2,MOD((base+s)*7919+104729,1048576),SORTBY(base,h1,1,h2,1))</definedName>
    <definedName name="DeckDebug">=TAKE(Deck,10)</definedName>
    <definedName name="PlayerCardsRaw">=TAKE(Deck,PlayerN)</definedName>
    <definedName name="Remaining">=DROP(Deck,PlayerN)</definedName>
    <definedName name="HandTotal">=LAMBDA(cards,LET(r,MOD(cards-1,13)+1,v,IF(r=1,11,IF(r&gt;10,10,r)),s,SUM(v),a,SUM(--(r=1)),k,IF(s&lt;=21,0,MIN(a,ROUNDUP((s-21)/10,0))),s-10*k))</definedName>
    <definedName name="PlayerTotal">=HandTotal(PlayerCardsRaw)</definedName>
    <definedName name="CardName">=LAMBDA(c,LET(r,MOD(c-1,13)+1,s,INT((c-1)/13)+1,CHOOSE(r,"A","2","3","4","5","6","7","8","9","10","J","Q","K")&amp;CHOOSE(s,"♠","♥","♦","♣")))</definedName>
    <definedName name="HandDisplay">=LAMBDA(cards,IF(COUNTA(cards)=0,"",TEXTJOIN("  ",TRUE,MAP(cards,LAMBDA(x,CardName(x))))))</definedName>
    <definedName name="PlayerHandDisplay">=HandDisplay(PlayerCardsRaw)</definedName>
    <definedName name="DealerNCalc">=LAMBDA(remaining,LET(t2,IF(COUNTA(remaining)&gt;=2,HandTotal(TAKE(remaining,2)),0),t3,IF(COUNTA(remaining)&gt;=3,HandTotal(TAKE(remaining,3)),0),t4,IF(COUNTA(remaining)&gt;=4,HandTotal(TAKE(remaining,4)),0),t5,IF(COUNTA(remaining)&gt;=5,HandTotal(TAKE(remaining,5)),0),t6,IF(COUNTA(remaining)&gt;=6,HandTotal(TAKE(remaining,6)),0),t7,IF(COUNTA(remaining)&gt;=7,HandTotal(TAKE(remaining,7)),0),t8,IF(COUNTA(remaining)&gt;=8,HandTotal(TAKE(remaining,8)),0),t9,IF(COUNTA(remaining)&gt;=9,HandTotal(TAKE(remaining,9)),0),t10,IF(COUNTA(remaining)&gt;=10,HandTotal(TAKE(remaining,10)),0),t11,IF(COUNTA(remaining)&gt;=11,HandTotal(TAKE(remaining,11)),0),t12,IF(COUNTA(remaining)&gt;=12,HandTotal(TAKE(remaining,12)),0),IF(t2&gt;=17,2,IF(t3&gt;=17,3,IF(t4&gt;=17,4,IF(t5&gt;=17,5,IF(t6&gt;=17,6,IF(t7&gt;=17,7,IF(t8&gt;=17,8,IF(t9&gt;=17,9,IF(t10&gt;=17,10,IF(t11&gt;=17,11,12))))))))))))</definedName>
    <definedName name="DealerN">=IF(Stand,DealerNCalc(Remaining),2)</definedName>
    <definedName name="DealerCardsRaw">=TAKE(Remaining,DealerN)</definedName>
    <definedName name="DealerTotal">=IF(Stand,HandTotal(DealerCardsRaw),HandTotal(TAKE(Remaining,1)))</definedName>
    <definedName name="DealerVisibleDisplay">=IF(Stand,HandDisplay(DealerCardsRaw),CardName(INDEX(Remaining,1))&amp;"  ?")</definedName>
    <definedName name="DealerHandDisplay">=IF(Stand,HandDisplay(DealerCardsRaw),"?")</definedName>
    <definedName name="GameResult">=LET(p,PlayerTotal,d,IF(Stand,DealerTotal,0),IF(p&gt;21,"Перебор игрока",IF(Stand=FALSE,"Можно взять ещё карту",IFS(d&gt;21,"Дилер перебрал",p&gt;d,"Вы выиграли",p=d,"Ничья",TRUE,"Дилер выиграл"))))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AA00"/>
          <bgColor rgb="FF00AA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CCCC"/>
          <bgColor rgb="FFCC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5" customWidth="1" min="3" max="3"/>
  </cols>
  <sheetData>
    <row r="1">
      <c r="A1" t="inlineStr">
        <is>
          <t>Seed для новой игры</t>
        </is>
      </c>
      <c r="B1" s="1" t="n">
        <v>12345</v>
      </c>
    </row>
    <row r="2">
      <c r="A2" t="inlineStr">
        <is>
          <t>Карт игрока</t>
        </is>
      </c>
      <c r="B2" s="1" t="n">
        <v>2</v>
      </c>
    </row>
    <row r="3">
      <c r="A3" t="inlineStr">
        <is>
          <t>Stand (TRUE/FALSE)</t>
        </is>
      </c>
      <c r="B3" s="1" t="b">
        <v>0</v>
      </c>
    </row>
    <row r="5">
      <c r="A5">
        <f>=================================================</f>
        <v/>
      </c>
    </row>
    <row r="7">
      <c r="A7" s="2">
        <f>== РЕЗУЛЬТАТЫ ИГРЫ ===</f>
        <v/>
      </c>
    </row>
    <row r="9">
      <c r="A9" t="inlineStr">
        <is>
          <t>Рука игрока:</t>
        </is>
      </c>
      <c r="C9">
        <f>PlayerHandDisplay</f>
        <v/>
      </c>
    </row>
    <row r="10">
      <c r="A10" t="inlineStr">
        <is>
          <t>Очки игрока:</t>
        </is>
      </c>
      <c r="C10">
        <f>PlayerTotal</f>
        <v/>
      </c>
    </row>
    <row r="12">
      <c r="A12" t="inlineStr">
        <is>
          <t>Карта дилера (видимая):</t>
        </is>
      </c>
      <c r="C12">
        <f>DealerVisibleDisplay</f>
        <v/>
      </c>
    </row>
    <row r="13">
      <c r="A13" t="inlineStr">
        <is>
          <t>Рука дилера (полная):</t>
        </is>
      </c>
      <c r="C13">
        <f>DealerHandDisplay</f>
        <v/>
      </c>
    </row>
    <row r="14">
      <c r="A14" t="inlineStr">
        <is>
          <t>Очки дилера:</t>
        </is>
      </c>
      <c r="C14">
        <f>DealerTotal</f>
        <v/>
      </c>
    </row>
    <row r="16">
      <c r="A16" s="2" t="inlineStr">
        <is>
          <t>РЕЗУЛЬТАТ:</t>
        </is>
      </c>
      <c r="C16" s="2">
        <f>GameResult</f>
        <v/>
      </c>
    </row>
    <row r="20">
      <c r="A20">
        <f>== ОТЛАДОЧНАЯ ОБЛАСТЬ (можно скрыть) ===</f>
        <v/>
      </c>
    </row>
    <row r="21">
      <c r="A21" t="inlineStr">
        <is>
          <t>Первые 10 карт колоды:</t>
        </is>
      </c>
    </row>
    <row r="22">
      <c r="A22">
        <f>TEXTJOIN(", ", TRUE, DeckDebug)</f>
        <v/>
      </c>
    </row>
    <row r="23">
      <c r="A23" t="inlineStr">
        <is>
          <t>Карт игрока (PlayerN):</t>
        </is>
      </c>
      <c r="C23">
        <f>PlayerN</f>
        <v/>
      </c>
    </row>
    <row r="24">
      <c r="A24" t="inlineStr">
        <is>
          <t>Карт дилера (DealerN):</t>
        </is>
      </c>
      <c r="C24">
        <f>DealerN</f>
        <v/>
      </c>
    </row>
    <row r="25">
      <c r="A25" t="inlineStr">
        <is>
          <t>Проверка уникальности колоды:</t>
        </is>
      </c>
      <c r="C25">
        <f>IF(ROWS(UNIQUE(Deck))=52, "OK", "ERROR")</f>
        <v/>
      </c>
    </row>
    <row r="26">
      <c r="A26" t="inlineStr">
        <is>
          <t>Мин карты:</t>
        </is>
      </c>
      <c r="C26">
        <f>MIN(Deck)</f>
        <v/>
      </c>
    </row>
    <row r="27">
      <c r="A27" t="inlineStr">
        <is>
          <t>Макс карты:</t>
        </is>
      </c>
      <c r="C27">
        <f>MAX(Deck)</f>
        <v/>
      </c>
    </row>
    <row r="28">
      <c r="A28" t="inlineStr">
        <is>
          <t>Пересечение рук:</t>
        </is>
      </c>
      <c r="C28">
        <f>SUM(--(ISNUMBER(MATCH(PlayerCardsRaw, DealerCardsRaw, 0))))</f>
        <v/>
      </c>
    </row>
  </sheetData>
  <conditionalFormatting sqref="C16">
    <cfRule type="expression" priority="1" dxfId="0">
      <formula>ISNUMBER(SEARCH("Перебор", C16))</formula>
    </cfRule>
    <cfRule type="expression" priority="2" dxfId="1">
      <formula>OR(ISNUMBER(SEARCH("выиграли", C16)), ISNUMBER(SEARCH("Дилер перебрал", C16)))</formula>
    </cfRule>
    <cfRule type="expression" priority="3" dxfId="2">
      <formula>ISNUMBER(SEARCH("Ничья", C16))</formula>
    </cfRule>
    <cfRule type="expression" priority="4" dxfId="3">
      <formula>OR(ISNUMBER(SEARCH("можно", C16)), ISNUMBER(SEARCH("Можно", C16)))</formula>
    </cfRule>
  </conditionalFormatting>
  <dataValidations count="3">
    <dataValidation sqref="B1" showDropDown="0" showInputMessage="0" showErrorMessage="0" allowBlank="0" errorTitle="Неверное значение Seed" error="Введите целое число от 1 до 1000000" type="whole" operator="between">
      <formula1>1</formula1>
      <formula2>1000000</formula2>
    </dataValidation>
    <dataValidation sqref="B2" showDropDown="0" showInputMessage="0" showErrorMessage="0" allowBlank="0" errorTitle="Неверное количество карт" error="Введите целое число от 2 до 20" type="whole" operator="between">
      <formula1>2</formula1>
      <formula2>20</formula2>
    </dataValidation>
    <dataValidation sqref="B3" showDropDown="0" showInputMessage="0" showErrorMessage="0" allowBlank="0" errorTitle="Неверное значение Stand" error="Введите TRUE или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2026-08-11T12:34:54Z</dcterms:created>
  <dcterms:modified xmlns:dcterms="http://purl.org/dc/terms/" xmlns:xsi="http://www.w3.org/2001/XMLSchema-instance" xsi:type="dcterms:W3CDTF">2026-08-11T12:34:54Z</dcterms:modified>
</cp:coreProperties>
</file>