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</sheets>
  <definedNames>
    <definedName name="SeedVal">=Game!$B$1</definedName>
    <definedName name="PlayerNInput">=Game!$B$2</definedName>
    <definedName name="StandInput">=Game!$B$3</definedName>
    <definedName name="PlayerN">=MIN(MAX(Game!$B$2; 2); 20)</definedName>
    <definedName name="Deck">=LET(s; SeedVal;raw; SEQUENCE(52);key1; MOD((raw + s) * 34999 + 12345; 1048576);key2; MOD((raw + s) * 7919 + 104729; 1048576);SORTBY(raw; key1; 1; key2; 1))</definedName>
    <definedName name="PlayerCards">=TAKE(Deck; PlayerN)</definedName>
    <definedName name="RemainingDeck">=DROP(Deck; PlayerN)</definedName>
    <definedName name="HandTotalFunc">=LAMBDA(cards;LET(ranks; MOD(cards - 1; 13) + 1;vals; IF(ranks = 1; 11; IF(ranks &gt; 10; 10; ranks));sum_raw; SUM(vals);aces; COUNTIF(ranks; 1);reduce_by; MIN(aces; MAX(0; ROUNDUP((sum_raw - 21) / 10; 0)));sum_raw - reduce_by * 10))</definedName>
    <definedName name="PlayerTotal">=HandTotalFunc(PlayerCards)</definedName>
    <definedName name="DealerN">=LET(rem; RemainingDeck;c2; TAKE(rem; 2); t2; HandTotalFunc(c2);c3; TAKE(rem; 3); t3; HandTotalFunc(c3);c4; TAKE(rem; 4); t4; HandTotalFunc(c4);c5; TAKE(rem; 5); t5; HandTotalFunc(c5);c6; TAKE(rem; 6); t6; HandTotalFunc(c6);c7; TAKE(rem; 7); t7; HandTotalFunc(c7);c8; TAKE(rem; 8); t8; HandTotalFunc(c8);c9; TAKE(rem; 9); t9; HandTotalFunc(c9);c10; TAKE(rem; 10); t10; HandTotalFunc(c10);IF(t2&gt;=17; 2;IF(t3&gt;=17; 3;IF(t4&gt;=17; 4;IF(t5&gt;=17; 5;IF(t6&gt;=17; 6;IF(t7&gt;=17; 7;IF(t8&gt;=17; 8;IF(t9&gt;=17; 9;10))))))))))</definedName>
    <definedName name="DealerCards">=TAKE(RemainingDeck; DealerN)</definedName>
    <definedName name="DealerTotal">=HandTotalFunc(DealerCards)</definedName>
    <definedName name="CardNameFunc">=LAMBDA(c;LET(r; MOD(c - 1; 13) + 1;s; INT((c - 1) / 13) + 1;rankTxt; CHOOSE(r; "A"; "2"; "3"; "4"; "5"; "6"; "7"; "8"; "9"; "10"; "J"; "Q"; "K");suitTxt; CHOOSE(s; "♠"; "♥"; "♦"; "♣");rankTxt &amp; suitTxt))</definedName>
    <definedName name="HandDisplay">=TEXTJOIN("  "; TRUE; MAP(PlayerCards; CardNameFunc))</definedName>
    <definedName name="DealerDisplay">=IF(StandInput;TEXTJOIN("  "; TRUE; MAP(DealerCards; CardNameFunc));CardNameFunc(INDEX(DealerCards; 1)) &amp; "  ?")</definedName>
    <definedName name="GameResult">=LET(p; PlayerTotal;d; DealerTotal;stand; StandInput;IF(p &gt; 21; "Перебор игрока";IF(stand = FALSE; "Можно взять ещё карту";IFS(d &gt; 21; "Дилер перебрал";p &gt; d; "Вы выиграли";p = d; "Ничья";TRUE; "Дилер выиграл"))))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0F0F0"/>
          <bgColor rgb="00F0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Seed для новой игры</t>
        </is>
      </c>
      <c r="B1" s="2" t="n">
        <v>12345</v>
      </c>
    </row>
    <row r="2">
      <c r="A2" s="1" t="inlineStr">
        <is>
          <t>Карт игрока (Hit)</t>
        </is>
      </c>
      <c r="B2" s="2" t="n">
        <v>2</v>
      </c>
    </row>
    <row r="3">
      <c r="A3" s="1" t="inlineStr">
        <is>
          <t>Stand (Остановиться)</t>
        </is>
      </c>
      <c r="B3" s="2" t="b">
        <v>0</v>
      </c>
    </row>
    <row r="4">
      <c r="A4" s="1" t="n"/>
      <c r="B4" s="3" t="n"/>
    </row>
    <row r="5">
      <c r="A5" s="1" t="inlineStr">
        <is>
          <t>--- РЕЗУЛЬТАТЫ ИГРЫ ---</t>
        </is>
      </c>
      <c r="B5" s="3" t="n"/>
    </row>
    <row r="6">
      <c r="A6" s="1" t="inlineStr">
        <is>
          <t>Рука игрока:</t>
        </is>
      </c>
      <c r="B6" s="3">
        <f>HandDisplay</f>
        <v/>
      </c>
    </row>
    <row r="7">
      <c r="A7" s="1" t="inlineStr">
        <is>
          <t>Очки игрока:</t>
        </is>
      </c>
      <c r="B7" s="3">
        <f>PlayerTotal</f>
        <v/>
      </c>
    </row>
    <row r="8">
      <c r="A8" s="1" t="inlineStr">
        <is>
          <t>Рука дилера:</t>
        </is>
      </c>
      <c r="B8" s="3">
        <f>DealerDisplay</f>
        <v/>
      </c>
    </row>
    <row r="9">
      <c r="A9" s="1" t="inlineStr">
        <is>
          <t>Очки дилера:</t>
        </is>
      </c>
      <c r="B9" s="3">
        <f>DealerTotal</f>
        <v/>
      </c>
    </row>
    <row r="10">
      <c r="A10" s="1" t="inlineStr">
        <is>
          <t>РЕЗУЛЬТАТ:</t>
        </is>
      </c>
      <c r="B10" s="4">
        <f>GameResult</f>
        <v/>
      </c>
    </row>
    <row r="11">
      <c r="A11" s="1" t="n"/>
      <c r="B11" s="3" t="n"/>
    </row>
    <row r="12">
      <c r="A12" s="1" t="inlineStr">
        <is>
          <t>--- ОТЛАДКА (НЕ МЕНЯТЬ) ---</t>
        </is>
      </c>
      <c r="B12" s="3" t="n"/>
    </row>
    <row r="13">
      <c r="A13" s="1" t="inlineStr">
        <is>
          <t>Колода (первые 10):</t>
        </is>
      </c>
      <c r="B13" s="3">
        <f>TEXTJOIN(", "; TRUE; TAKE(Deck; 10))</f>
        <v/>
      </c>
    </row>
    <row r="14">
      <c r="A14" s="1" t="inlineStr">
        <is>
          <t>Проверка уникальности:</t>
        </is>
      </c>
      <c r="B14" s="3">
        <f>IF(ROWS(UNIQUE(Deck))=52; "OK"; "ERROR")</f>
        <v/>
      </c>
    </row>
  </sheetData>
  <conditionalFormatting sqref="B10">
    <cfRule type="expression" priority="1" dxfId="0">
      <formula>=$B$10="Перебор игрока"</formula>
    </cfRule>
    <cfRule type="expression" priority="2" dxfId="1">
      <formula>OR($B$10="Вы выиграли"; $B$10="Дилер перебрал")</formula>
    </cfRule>
    <cfRule type="expression" priority="3" dxfId="2">
      <formula>=$B$10="Ничья"</formula>
    </cfRule>
    <cfRule type="expression" priority="4" dxfId="3">
      <formula>=$B$10="Можно взять ещё карту"</formula>
    </cfRule>
  </conditionalFormatting>
  <dataValidations count="3">
    <dataValidation sqref="B1" showDropDown="0" showInputMessage="0" showErrorMessage="0" allowBlank="0" error="Введите число от 1 до 1000000" type="whole" operator="between">
      <formula1>1</formula1>
      <formula2>1000000</formula2>
    </dataValidation>
    <dataValidation sqref="B2" showDropDown="0" showInputMessage="0" showErrorMessage="0" allowBlank="0" error="Введите число от 2 до 20" type="whole" operator="between">
      <formula1>2</formula1>
      <formula2>20</formula2>
    </dataValidation>
    <dataValidation sqref="B3" showDropDown="0" showInputMessage="0" showErrorMessage="0" allowBlank="0" error="Выберите FALSE или TRUE" type="list">
      <formula1>"FALSE,TRUE"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2026-08-11T12:47:52Z</dcterms:created>
  <dcterms:modified xmlns:dcterms="http://purl.org/dc/terms/" xmlns:xsi="http://www.w3.org/2001/XMLSchema-instance" xsi:type="dcterms:W3CDTF">2026-08-11T12:47:52Z</dcterms:modified>
</cp:coreProperties>
</file>